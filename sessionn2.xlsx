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43322584ef840/Documents/"/>
    </mc:Choice>
  </mc:AlternateContent>
  <xr:revisionPtr revIDLastSave="80" documentId="8_{FD421A0A-E91B-46B2-AB85-0511EEFD15BD}" xr6:coauthVersionLast="47" xr6:coauthVersionMax="47" xr10:uidLastSave="{2EA2FB67-E98D-4ABD-995C-F9D7B88CB73E}"/>
  <bookViews>
    <workbookView xWindow="-108" yWindow="-108" windowWidth="23256" windowHeight="12456" activeTab="4" xr2:uid="{9F26CF3D-08DC-47F8-986C-5782D71C6D32}"/>
  </bookViews>
  <sheets>
    <sheet name="vlookup" sheetId="1" r:id="rId1"/>
    <sheet name="Sheet2" sheetId="2" r:id="rId2"/>
    <sheet name="hlookup" sheetId="3" r:id="rId3"/>
    <sheet name="Sheet4" sheetId="4" r:id="rId4"/>
    <sheet name="data valid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2" i="6"/>
  <c r="F3" i="6"/>
  <c r="F4" i="6"/>
  <c r="F5" i="6"/>
  <c r="F6" i="6"/>
  <c r="F7" i="6"/>
  <c r="F2" i="6"/>
  <c r="E3" i="6"/>
  <c r="E4" i="6"/>
  <c r="E5" i="6"/>
  <c r="E6" i="6"/>
  <c r="E7" i="6"/>
  <c r="E2" i="6"/>
  <c r="C2" i="4"/>
  <c r="D2" i="4"/>
  <c r="E2" i="4"/>
  <c r="F2" i="4"/>
  <c r="B2" i="4"/>
  <c r="D2" i="1"/>
  <c r="D3" i="1"/>
  <c r="D4" i="1"/>
  <c r="D5" i="1"/>
  <c r="D6" i="1"/>
  <c r="D7" i="1"/>
  <c r="D8" i="1"/>
  <c r="B8" i="2"/>
  <c r="B3" i="2"/>
  <c r="B4" i="2"/>
  <c r="B5" i="2"/>
  <c r="B6" i="2"/>
  <c r="B7" i="2"/>
  <c r="B2" i="2"/>
</calcChain>
</file>

<file path=xl/sharedStrings.xml><?xml version="1.0" encoding="utf-8"?>
<sst xmlns="http://schemas.openxmlformats.org/spreadsheetml/2006/main" count="36" uniqueCount="29">
  <si>
    <t>empid</t>
  </si>
  <si>
    <t>empname</t>
  </si>
  <si>
    <t>Alice</t>
  </si>
  <si>
    <t>bob</t>
  </si>
  <si>
    <t>dodo</t>
  </si>
  <si>
    <t>john</t>
  </si>
  <si>
    <t>nick</t>
  </si>
  <si>
    <t>smith</t>
  </si>
  <si>
    <t xml:space="preserve">salary </t>
  </si>
  <si>
    <t>salary</t>
  </si>
  <si>
    <t>boby</t>
  </si>
  <si>
    <t>concatinate</t>
  </si>
  <si>
    <t>name</t>
  </si>
  <si>
    <t>A</t>
  </si>
  <si>
    <t>B</t>
  </si>
  <si>
    <t>C</t>
  </si>
  <si>
    <t>D</t>
  </si>
  <si>
    <t>E</t>
  </si>
  <si>
    <t>id</t>
  </si>
  <si>
    <t>date</t>
  </si>
  <si>
    <t>right charater</t>
  </si>
  <si>
    <t>mid character</t>
  </si>
  <si>
    <t>left character</t>
  </si>
  <si>
    <t>asmita</t>
  </si>
  <si>
    <t>ankiita</t>
  </si>
  <si>
    <t>prashant</t>
  </si>
  <si>
    <t>sakshi</t>
  </si>
  <si>
    <t>koyal</t>
  </si>
  <si>
    <t>prachi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</si>
</sst>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60990-D8AE-43C9-B0DE-D6A31688AC13}" name="Table1" displayName="Table1" ref="A1:D8" totalsRowShown="0" headerRowDxfId="1" dataDxfId="2">
  <autoFilter ref="A1:D8" xr:uid="{71A60990-D8AE-43C9-B0DE-D6A31688AC13}"/>
  <tableColumns count="4">
    <tableColumn id="1" xr3:uid="{A446CF25-FB41-40BF-B657-7E231F1D1A1A}" name="empid" dataDxfId="5"/>
    <tableColumn id="2" xr3:uid="{CF9BA43E-AADB-4F54-941F-2BE91FA4F843}" name="empname" dataDxfId="4"/>
    <tableColumn id="3" xr3:uid="{334F367D-2495-4C5A-812C-49719EADC04E}" name="salary " dataDxfId="3"/>
    <tableColumn id="4" xr3:uid="{5D31C73F-56E2-405E-B04E-85345C2E2311}" name="concatinate" dataDxfId="0">
      <calculatedColumnFormula>CONCATENATE(Table1[[#This Row],[empname]],"-",C2)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70F0-B9D4-4348-97FA-2FCDC5545A32}">
  <dimension ref="A1:D12"/>
  <sheetViews>
    <sheetView zoomScale="145" workbookViewId="0">
      <selection activeCell="D11" sqref="D11"/>
    </sheetView>
  </sheetViews>
  <sheetFormatPr defaultRowHeight="14.4" x14ac:dyDescent="0.3"/>
  <cols>
    <col min="2" max="2" width="11.33203125" customWidth="1"/>
    <col min="4" max="4" width="14.5546875" customWidth="1"/>
  </cols>
  <sheetData>
    <row r="1" spans="1:4" x14ac:dyDescent="0.3">
      <c r="A1" s="1" t="s">
        <v>0</v>
      </c>
      <c r="B1" s="1" t="s">
        <v>1</v>
      </c>
      <c r="C1" s="1" t="s">
        <v>8</v>
      </c>
      <c r="D1" s="1" t="s">
        <v>11</v>
      </c>
    </row>
    <row r="2" spans="1:4" x14ac:dyDescent="0.3">
      <c r="A2" s="1">
        <v>11</v>
      </c>
      <c r="B2" s="1" t="s">
        <v>2</v>
      </c>
      <c r="C2" s="1">
        <v>20000</v>
      </c>
      <c r="D2" s="1" t="str">
        <f>CONCATENATE(Table1[[#This Row],[empname]],"-",C2)</f>
        <v>Alice-20000</v>
      </c>
    </row>
    <row r="3" spans="1:4" x14ac:dyDescent="0.3">
      <c r="A3" s="1">
        <v>12</v>
      </c>
      <c r="B3" s="1" t="s">
        <v>3</v>
      </c>
      <c r="C3" s="1">
        <v>40000</v>
      </c>
      <c r="D3" s="1" t="str">
        <f>CONCATENATE(Table1[[#This Row],[empname]],"-",C3)</f>
        <v>bob-40000</v>
      </c>
    </row>
    <row r="4" spans="1:4" x14ac:dyDescent="0.3">
      <c r="A4" s="1">
        <v>13</v>
      </c>
      <c r="B4" s="1" t="s">
        <v>4</v>
      </c>
      <c r="C4" s="1">
        <v>23000</v>
      </c>
      <c r="D4" s="1" t="str">
        <f>CONCATENATE(Table1[[#This Row],[empname]],"-",C4)</f>
        <v>dodo-23000</v>
      </c>
    </row>
    <row r="5" spans="1:4" x14ac:dyDescent="0.3">
      <c r="A5" s="1">
        <v>14</v>
      </c>
      <c r="B5" s="1" t="s">
        <v>5</v>
      </c>
      <c r="C5" s="1">
        <v>30000</v>
      </c>
      <c r="D5" s="1" t="str">
        <f>CONCATENATE(Table1[[#This Row],[empname]],"-",C5)</f>
        <v>john-30000</v>
      </c>
    </row>
    <row r="6" spans="1:4" x14ac:dyDescent="0.3">
      <c r="A6" s="1">
        <v>15</v>
      </c>
      <c r="B6" s="1" t="s">
        <v>6</v>
      </c>
      <c r="C6" s="1">
        <v>87000</v>
      </c>
      <c r="D6" s="1" t="str">
        <f>CONCATENATE(Table1[[#This Row],[empname]],"-",C6)</f>
        <v>nick-87000</v>
      </c>
    </row>
    <row r="7" spans="1:4" x14ac:dyDescent="0.3">
      <c r="A7" s="1">
        <v>16</v>
      </c>
      <c r="B7" s="1" t="s">
        <v>7</v>
      </c>
      <c r="C7" s="1">
        <v>23000</v>
      </c>
      <c r="D7" s="1" t="str">
        <f>CONCATENATE(Table1[[#This Row],[empname]],"-",C7)</f>
        <v>smith-23000</v>
      </c>
    </row>
    <row r="8" spans="1:4" x14ac:dyDescent="0.3">
      <c r="A8" s="1">
        <v>17</v>
      </c>
      <c r="B8" s="1" t="s">
        <v>10</v>
      </c>
      <c r="C8" s="1">
        <v>14000</v>
      </c>
      <c r="D8" s="1" t="str">
        <f>CONCATENATE(Table1[[#This Row],[empname]],"-",C8)</f>
        <v>boby-14000</v>
      </c>
    </row>
    <row r="9" spans="1:4" x14ac:dyDescent="0.3">
      <c r="A9" s="1"/>
      <c r="B9" s="1"/>
      <c r="C9" s="1"/>
    </row>
    <row r="10" spans="1:4" x14ac:dyDescent="0.3">
      <c r="A10" s="1"/>
      <c r="B10" s="1"/>
      <c r="C10" s="1"/>
    </row>
    <row r="11" spans="1:4" x14ac:dyDescent="0.3">
      <c r="A11" s="1"/>
      <c r="B11" s="1"/>
      <c r="C11" s="1"/>
    </row>
    <row r="12" spans="1:4" x14ac:dyDescent="0.3">
      <c r="A12" s="1"/>
      <c r="B12" s="1"/>
      <c r="C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7948-BC0D-4B9E-852F-02CD83D6B26A}">
  <dimension ref="A1:B8"/>
  <sheetViews>
    <sheetView zoomScale="156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9</v>
      </c>
    </row>
    <row r="2" spans="1:2" x14ac:dyDescent="0.3">
      <c r="A2">
        <v>11</v>
      </c>
      <c r="B2">
        <f>VLOOKUP(A2,vlookup!A1:C7,3,FALSE)</f>
        <v>20000</v>
      </c>
    </row>
    <row r="3" spans="1:2" x14ac:dyDescent="0.3">
      <c r="A3">
        <v>12</v>
      </c>
      <c r="B3">
        <f>VLOOKUP(A3,vlookup!A2:C8,3,FALSE)</f>
        <v>40000</v>
      </c>
    </row>
    <row r="4" spans="1:2" x14ac:dyDescent="0.3">
      <c r="A4">
        <v>13</v>
      </c>
      <c r="B4">
        <f>VLOOKUP(A4,vlookup!A3:C9,3,FALSE)</f>
        <v>23000</v>
      </c>
    </row>
    <row r="5" spans="1:2" x14ac:dyDescent="0.3">
      <c r="A5">
        <v>14</v>
      </c>
      <c r="B5">
        <f>VLOOKUP(A5,vlookup!A4:C10,3,FALSE)</f>
        <v>30000</v>
      </c>
    </row>
    <row r="6" spans="1:2" x14ac:dyDescent="0.3">
      <c r="A6">
        <v>15</v>
      </c>
      <c r="B6">
        <f>VLOOKUP(A6,vlookup!A5:C11,3,FALSE)</f>
        <v>87000</v>
      </c>
    </row>
    <row r="7" spans="1:2" x14ac:dyDescent="0.3">
      <c r="A7">
        <v>16</v>
      </c>
      <c r="B7">
        <f>VLOOKUP(A7,vlookup!A6:C12,3,FALSE)</f>
        <v>23000</v>
      </c>
    </row>
    <row r="8" spans="1:2" x14ac:dyDescent="0.3">
      <c r="A8">
        <v>17</v>
      </c>
      <c r="B8">
        <f>VLOOKUP(A8,vlookup!A7:C13,3,FALSE)</f>
        <v>14000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CAAE-7309-4A3E-AF50-5695229F3D32}">
  <dimension ref="A1:F3"/>
  <sheetViews>
    <sheetView zoomScale="149" workbookViewId="0">
      <selection activeCell="E16" sqref="E16"/>
    </sheetView>
  </sheetViews>
  <sheetFormatPr defaultRowHeight="14.4" x14ac:dyDescent="0.3"/>
  <sheetData>
    <row r="1" spans="1:6" x14ac:dyDescent="0.3">
      <c r="A1" s="1" t="s">
        <v>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</row>
    <row r="2" spans="1:6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x14ac:dyDescent="0.3">
      <c r="A3" s="1" t="s">
        <v>9</v>
      </c>
      <c r="B3" s="1">
        <v>10000</v>
      </c>
      <c r="C3" s="1">
        <v>20000</v>
      </c>
      <c r="D3" s="1">
        <v>24000</v>
      </c>
      <c r="E3" s="1">
        <v>34000</v>
      </c>
      <c r="F3" s="1">
        <v>23400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5497-9D71-4138-B223-427E530E50C1}">
  <dimension ref="A1:F2"/>
  <sheetViews>
    <sheetView workbookViewId="0">
      <selection activeCell="A3" sqref="A3"/>
    </sheetView>
  </sheetViews>
  <sheetFormatPr defaultRowHeight="14.4" x14ac:dyDescent="0.3"/>
  <sheetData>
    <row r="1" spans="1:6" x14ac:dyDescent="0.3">
      <c r="A1" t="s">
        <v>0</v>
      </c>
      <c r="B1">
        <v>10</v>
      </c>
      <c r="C1">
        <v>11</v>
      </c>
      <c r="D1">
        <v>12</v>
      </c>
      <c r="E1">
        <v>13</v>
      </c>
      <c r="F1">
        <v>14</v>
      </c>
    </row>
    <row r="2" spans="1:6" x14ac:dyDescent="0.3">
      <c r="A2" t="s">
        <v>9</v>
      </c>
      <c r="B2">
        <f>HLOOKUP(B1,hlookup!1:3,3,FALSE)</f>
        <v>10000</v>
      </c>
      <c r="C2">
        <f>HLOOKUP(C1,hlookup!1:3,3,FALSE)</f>
        <v>20000</v>
      </c>
      <c r="D2">
        <f>HLOOKUP(D1,hlookup!1:3,3,FALSE)</f>
        <v>24000</v>
      </c>
      <c r="E2">
        <f>HLOOKUP(E1,hlookup!1:3,3,FALSE)</f>
        <v>34000</v>
      </c>
      <c r="F2">
        <f>HLOOKUP(F1,hlookup!1:3,3,FALSE)</f>
        <v>23400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C7C0-75CE-4A7B-85AB-7E36410A1B6A}">
  <dimension ref="A1:G7"/>
  <sheetViews>
    <sheetView tabSelected="1" zoomScale="141" workbookViewId="0">
      <selection activeCell="D10" sqref="D10"/>
    </sheetView>
  </sheetViews>
  <sheetFormatPr defaultRowHeight="14.4" x14ac:dyDescent="0.3"/>
  <cols>
    <col min="1" max="1" width="8.88671875" style="1"/>
    <col min="2" max="2" width="15.33203125" customWidth="1"/>
    <col min="3" max="3" width="11.77734375" customWidth="1"/>
    <col min="4" max="4" width="15.44140625" customWidth="1"/>
    <col min="5" max="5" width="12.109375" bestFit="1" customWidth="1"/>
    <col min="6" max="6" width="12.109375" customWidth="1"/>
    <col min="7" max="7" width="12.44140625" bestFit="1" customWidth="1"/>
  </cols>
  <sheetData>
    <row r="1" spans="1:7" x14ac:dyDescent="0.3">
      <c r="A1" s="1" t="s">
        <v>18</v>
      </c>
      <c r="B1" s="1" t="s">
        <v>12</v>
      </c>
      <c r="C1" s="1" t="s">
        <v>19</v>
      </c>
      <c r="D1" s="1" t="s">
        <v>9</v>
      </c>
      <c r="E1" s="1" t="s">
        <v>22</v>
      </c>
      <c r="F1" s="1" t="s">
        <v>20</v>
      </c>
      <c r="G1" s="1" t="s">
        <v>21</v>
      </c>
    </row>
    <row r="2" spans="1:7" x14ac:dyDescent="0.3">
      <c r="A2" s="1">
        <v>10</v>
      </c>
      <c r="B2" s="1" t="s">
        <v>23</v>
      </c>
      <c r="C2" s="2">
        <v>45748</v>
      </c>
      <c r="D2" s="1">
        <v>12000.84</v>
      </c>
      <c r="E2" t="str">
        <f>LEFT(B2,2)</f>
        <v>as</v>
      </c>
      <c r="F2" t="str">
        <f>RIGHT(B2,2)</f>
        <v>ta</v>
      </c>
      <c r="G2" t="str">
        <f>MID(B2,3,2)</f>
        <v>mi</v>
      </c>
    </row>
    <row r="3" spans="1:7" x14ac:dyDescent="0.3">
      <c r="A3" s="1">
        <v>20</v>
      </c>
      <c r="B3" s="1" t="s">
        <v>24</v>
      </c>
      <c r="C3" s="2">
        <v>45883</v>
      </c>
      <c r="D3" s="1">
        <v>43300.78</v>
      </c>
      <c r="E3" t="str">
        <f t="shared" ref="E3:E7" si="0">LEFT(B3,2)</f>
        <v>an</v>
      </c>
      <c r="F3" t="str">
        <f t="shared" ref="F3:F7" si="1">RIGHT(B3,2)</f>
        <v>ta</v>
      </c>
      <c r="G3" t="str">
        <f t="shared" ref="G3:G7" si="2">MID(B3,3,2)</f>
        <v>ki</v>
      </c>
    </row>
    <row r="4" spans="1:7" x14ac:dyDescent="0.3">
      <c r="A4" s="1">
        <v>30</v>
      </c>
      <c r="B4" s="1" t="s">
        <v>25</v>
      </c>
      <c r="C4" s="2">
        <v>45847</v>
      </c>
      <c r="D4" s="1">
        <v>50000.77</v>
      </c>
      <c r="E4" t="str">
        <f t="shared" si="0"/>
        <v>pr</v>
      </c>
      <c r="F4" t="str">
        <f t="shared" si="1"/>
        <v>nt</v>
      </c>
      <c r="G4" t="str">
        <f t="shared" si="2"/>
        <v>as</v>
      </c>
    </row>
    <row r="5" spans="1:7" x14ac:dyDescent="0.3">
      <c r="A5" s="1">
        <v>40</v>
      </c>
      <c r="B5" s="1" t="s">
        <v>26</v>
      </c>
      <c r="C5" s="2">
        <v>45953</v>
      </c>
      <c r="D5" s="1">
        <v>34600.699999999997</v>
      </c>
      <c r="E5" t="str">
        <f t="shared" si="0"/>
        <v>sa</v>
      </c>
      <c r="F5" t="str">
        <f t="shared" si="1"/>
        <v>hi</v>
      </c>
      <c r="G5" t="str">
        <f t="shared" si="2"/>
        <v>ks</v>
      </c>
    </row>
    <row r="6" spans="1:7" x14ac:dyDescent="0.3">
      <c r="A6" s="1">
        <v>50</v>
      </c>
      <c r="B6" s="1" t="s">
        <v>27</v>
      </c>
      <c r="C6" s="2">
        <v>45973</v>
      </c>
      <c r="D6" s="1">
        <v>31600.7</v>
      </c>
      <c r="E6" t="str">
        <f t="shared" si="0"/>
        <v>ko</v>
      </c>
      <c r="F6" t="str">
        <f t="shared" si="1"/>
        <v>al</v>
      </c>
      <c r="G6" t="str">
        <f t="shared" si="2"/>
        <v>ya</v>
      </c>
    </row>
    <row r="7" spans="1:7" x14ac:dyDescent="0.3">
      <c r="A7" s="1">
        <v>45</v>
      </c>
      <c r="B7" s="1" t="s">
        <v>28</v>
      </c>
      <c r="C7" s="2">
        <v>45778</v>
      </c>
      <c r="D7" s="1">
        <v>45000.47</v>
      </c>
      <c r="E7" t="str">
        <f t="shared" si="0"/>
        <v>pr</v>
      </c>
      <c r="F7" t="str">
        <f t="shared" si="1"/>
        <v>hi</v>
      </c>
      <c r="G7" t="str">
        <f t="shared" si="2"/>
        <v>ac</v>
      </c>
    </row>
  </sheetData>
  <dataValidations count="4">
    <dataValidation type="whole" allowBlank="1" showInputMessage="1" showErrorMessage="1" sqref="A1:A1048576" xr:uid="{21D9EE88-642E-45CA-94E8-DDF65EC6599C}">
      <formula1>1</formula1>
      <formula2>50</formula2>
    </dataValidation>
    <dataValidation type="textLength" allowBlank="1" showInputMessage="1" showErrorMessage="1" sqref="B1:B1048576" xr:uid="{45FF6CA9-0821-40F8-A939-D6A00061076B}">
      <formula1>2</formula1>
      <formula2>10</formula2>
    </dataValidation>
    <dataValidation type="date" allowBlank="1" showInputMessage="1" showErrorMessage="1" sqref="C1:C1048576" xr:uid="{A8B512DC-D91D-414B-A9C5-85D7BCF17803}">
      <formula1>45717</formula1>
      <formula2>45992</formula2>
    </dataValidation>
    <dataValidation type="decimal" allowBlank="1" showInputMessage="1" showErrorMessage="1" sqref="D1:D1048576" xr:uid="{F932D421-2B6D-441C-9FF3-B058285F02CE}">
      <formula1>10000.99</formula1>
      <formula2>50000.8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</vt:lpstr>
      <vt:lpstr>Sheet2</vt:lpstr>
      <vt:lpstr>hlookup</vt:lpstr>
      <vt:lpstr>Sheet4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Patil</dc:creator>
  <cp:lastModifiedBy>Asmita Patil</cp:lastModifiedBy>
  <dcterms:created xsi:type="dcterms:W3CDTF">2025-11-06T04:46:30Z</dcterms:created>
  <dcterms:modified xsi:type="dcterms:W3CDTF">2025-11-06T05:42:43Z</dcterms:modified>
</cp:coreProperties>
</file>